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dels\"/>
    </mc:Choice>
  </mc:AlternateContent>
  <xr:revisionPtr revIDLastSave="0" documentId="13_ncr:1_{46694074-B518-4376-9667-DCFF237C3AF0}" xr6:coauthVersionLast="47" xr6:coauthVersionMax="47" xr10:uidLastSave="{00000000-0000-0000-0000-000000000000}"/>
  <bookViews>
    <workbookView xWindow="12045" yWindow="0" windowWidth="16950" windowHeight="15600" activeTab="1" xr2:uid="{1CDCA565-9788-49F4-884E-647C6F76987C}"/>
  </bookViews>
  <sheets>
    <sheet name="Sheet1" sheetId="1" r:id="rId1"/>
    <sheet name="Model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E23" i="3" s="1"/>
  <c r="I41" i="2"/>
  <c r="I39" i="2"/>
  <c r="I26" i="2"/>
  <c r="I33" i="2" a="1"/>
  <c r="I20" i="2"/>
  <c r="I18" i="2"/>
  <c r="E18" i="2"/>
  <c r="F18" i="2"/>
  <c r="G18" i="2"/>
  <c r="H18" i="2"/>
  <c r="E19" i="2"/>
  <c r="H19" i="2"/>
  <c r="E20" i="2"/>
  <c r="F20" i="2"/>
  <c r="G20" i="2"/>
  <c r="H20" i="2"/>
  <c r="F22" i="2"/>
  <c r="G22" i="2"/>
  <c r="H22" i="2"/>
  <c r="F14" i="2"/>
  <c r="F21" i="2" s="1"/>
  <c r="G14" i="2"/>
  <c r="G21" i="2" s="1"/>
  <c r="H14" i="2"/>
  <c r="H21" i="2" s="1"/>
  <c r="E12" i="2"/>
  <c r="E22" i="2" s="1"/>
  <c r="F12" i="2"/>
  <c r="G12" i="2"/>
  <c r="H12" i="2"/>
  <c r="E9" i="2"/>
  <c r="F9" i="2"/>
  <c r="G9" i="2"/>
  <c r="H9" i="2"/>
  <c r="E6" i="2"/>
  <c r="F6" i="2"/>
  <c r="F19" i="2" s="1"/>
  <c r="G6" i="2"/>
  <c r="G19" i="2" s="1"/>
  <c r="H6" i="2"/>
  <c r="I12" i="2"/>
  <c r="I22" i="2" s="1"/>
  <c r="I9" i="2"/>
  <c r="I6" i="2"/>
  <c r="I19" i="2" s="1"/>
  <c r="J9" i="1"/>
  <c r="J8" i="1"/>
  <c r="J7" i="1"/>
  <c r="J6" i="1"/>
  <c r="E19" i="3" l="1"/>
  <c r="E34" i="3"/>
  <c r="E33" i="3"/>
  <c r="E17" i="3"/>
  <c r="E32" i="3"/>
  <c r="E15" i="3"/>
  <c r="E7" i="3"/>
  <c r="F7" i="3" s="1"/>
  <c r="E8" i="3"/>
  <c r="E18" i="3"/>
  <c r="E30" i="3"/>
  <c r="E14" i="3"/>
  <c r="E20" i="3"/>
  <c r="E22" i="3"/>
  <c r="E16" i="3"/>
  <c r="E31" i="3"/>
  <c r="E29" i="3"/>
  <c r="E13" i="3"/>
  <c r="E28" i="3"/>
  <c r="E12" i="3"/>
  <c r="E11" i="3"/>
  <c r="E26" i="3"/>
  <c r="E9" i="3"/>
  <c r="E21" i="3"/>
  <c r="E27" i="3"/>
  <c r="E10" i="3"/>
  <c r="E25" i="3"/>
  <c r="E24" i="3"/>
  <c r="I33" i="2"/>
  <c r="E14" i="2"/>
  <c r="H15" i="2"/>
  <c r="G15" i="2"/>
  <c r="F15" i="2"/>
  <c r="I14" i="2"/>
  <c r="F8" i="3" l="1"/>
  <c r="F9" i="3" s="1"/>
  <c r="G7" i="3"/>
  <c r="E21" i="2"/>
  <c r="E15" i="2"/>
  <c r="I15" i="2"/>
  <c r="I21" i="2"/>
  <c r="G8" i="3" l="1"/>
  <c r="F10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G11" i="3"/>
  <c r="G18" i="3"/>
  <c r="G12" i="3"/>
  <c r="G9" i="3"/>
  <c r="G17" i="3"/>
  <c r="G19" i="3"/>
  <c r="G10" i="3"/>
  <c r="G16" i="3"/>
  <c r="G15" i="3"/>
  <c r="G14" i="3"/>
  <c r="G13" i="3" l="1"/>
  <c r="G34" i="3"/>
  <c r="G27" i="3"/>
  <c r="G32" i="3"/>
  <c r="G26" i="3"/>
  <c r="G25" i="3"/>
  <c r="G28" i="3"/>
  <c r="G31" i="3"/>
  <c r="G24" i="3"/>
  <c r="G23" i="3"/>
  <c r="G30" i="3"/>
  <c r="G20" i="3"/>
  <c r="G21" i="3"/>
  <c r="G22" i="3"/>
  <c r="G33" i="3"/>
  <c r="G29" i="3"/>
</calcChain>
</file>

<file path=xl/sharedStrings.xml><?xml version="1.0" encoding="utf-8"?>
<sst xmlns="http://schemas.openxmlformats.org/spreadsheetml/2006/main" count="59" uniqueCount="58">
  <si>
    <t>Price</t>
  </si>
  <si>
    <t>Shares</t>
  </si>
  <si>
    <t xml:space="preserve">MC </t>
  </si>
  <si>
    <t xml:space="preserve">Cash </t>
  </si>
  <si>
    <t xml:space="preserve">Debt </t>
  </si>
  <si>
    <t>EV</t>
  </si>
  <si>
    <t>Q125</t>
  </si>
  <si>
    <t>Q225</t>
  </si>
  <si>
    <t>Q325</t>
  </si>
  <si>
    <t>Q425</t>
  </si>
  <si>
    <t>Q424</t>
  </si>
  <si>
    <t>Q324</t>
  </si>
  <si>
    <t>Q224</t>
  </si>
  <si>
    <t>Q124</t>
  </si>
  <si>
    <t>Revenue</t>
  </si>
  <si>
    <t>COGS</t>
  </si>
  <si>
    <t>Gross Margin %</t>
  </si>
  <si>
    <t>OpEx</t>
  </si>
  <si>
    <t>R&amp;D</t>
  </si>
  <si>
    <t>SG&amp;A</t>
  </si>
  <si>
    <t>Other Income</t>
  </si>
  <si>
    <t>Taxes</t>
  </si>
  <si>
    <t>Net Income</t>
  </si>
  <si>
    <t>EPS</t>
  </si>
  <si>
    <t>Tax Rate</t>
  </si>
  <si>
    <t>Revenue Y/Y</t>
  </si>
  <si>
    <t>Gross Profit</t>
  </si>
  <si>
    <t>Operating Profit</t>
  </si>
  <si>
    <t>Operating Margin %</t>
  </si>
  <si>
    <t>Pretax Income</t>
  </si>
  <si>
    <t>Net Margin %</t>
  </si>
  <si>
    <t>Income Statement</t>
  </si>
  <si>
    <t>Balance Sheet</t>
  </si>
  <si>
    <t>Cash</t>
  </si>
  <si>
    <t>A/R</t>
  </si>
  <si>
    <t>VNTR</t>
  </si>
  <si>
    <t>Inventories</t>
  </si>
  <si>
    <t>OCA</t>
  </si>
  <si>
    <t>PPE</t>
  </si>
  <si>
    <t>ONCA</t>
  </si>
  <si>
    <t>Assets</t>
  </si>
  <si>
    <t>OCL</t>
  </si>
  <si>
    <t>DR</t>
  </si>
  <si>
    <t>CP</t>
  </si>
  <si>
    <t>ONCL</t>
  </si>
  <si>
    <t>Liabilities</t>
  </si>
  <si>
    <t>A/P</t>
  </si>
  <si>
    <t>S/E</t>
  </si>
  <si>
    <t>L+S/E</t>
  </si>
  <si>
    <t>Debt</t>
  </si>
  <si>
    <t>Discounted cash flows</t>
  </si>
  <si>
    <t>AER</t>
  </si>
  <si>
    <t>Discounted Factor V</t>
  </si>
  <si>
    <t>Initial Value</t>
  </si>
  <si>
    <t>Discount Factor V</t>
  </si>
  <si>
    <t>PV Rev</t>
  </si>
  <si>
    <t>Time</t>
  </si>
  <si>
    <t>Cumulated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</si>
</sst>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2" xfId="0" applyBorder="1"/>
    <xf numFmtId="2" fontId="0" fillId="0" borderId="0" xfId="0" applyNumberFormat="1"/>
    <xf numFmtId="9" fontId="0" fillId="0" borderId="0" xfId="0" applyNumberFormat="1"/>
    <xf numFmtId="0" fontId="1" fillId="0" borderId="2" xfId="0" applyFont="1" applyBorder="1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2" fontId="1" fillId="0" borderId="2" xfId="0" applyNumberFormat="1" applyFont="1" applyBorder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0</xdr:row>
      <xdr:rowOff>76200</xdr:rowOff>
    </xdr:from>
    <xdr:to>
      <xdr:col>11</xdr:col>
      <xdr:colOff>28575</xdr:colOff>
      <xdr:row>44</xdr:row>
      <xdr:rowOff>47625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9AB9BAB-D95E-8E3E-9BD7-8F6CDF179C41}"/>
            </a:ext>
          </a:extLst>
        </xdr:cNvPr>
        <xdr:cNvCxnSpPr/>
      </xdr:nvCxnSpPr>
      <xdr:spPr>
        <a:xfrm flipH="1">
          <a:off x="6715125" y="76200"/>
          <a:ext cx="19050" cy="8353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C570-03E3-43A4-8D50-42F5435A32F7}">
  <dimension ref="I4:J9"/>
  <sheetViews>
    <sheetView topLeftCell="B4" workbookViewId="0">
      <selection activeCell="H17" sqref="H17"/>
    </sheetView>
  </sheetViews>
  <sheetFormatPr defaultRowHeight="15" x14ac:dyDescent="0.25"/>
  <sheetData>
    <row r="4" spans="9:10" x14ac:dyDescent="0.25">
      <c r="I4" t="s">
        <v>0</v>
      </c>
      <c r="J4">
        <v>270.37</v>
      </c>
    </row>
    <row r="5" spans="9:10" x14ac:dyDescent="0.25">
      <c r="I5" t="s">
        <v>1</v>
      </c>
      <c r="J5" s="1">
        <v>14840</v>
      </c>
    </row>
    <row r="6" spans="9:10" x14ac:dyDescent="0.25">
      <c r="I6" t="s">
        <v>2</v>
      </c>
      <c r="J6" s="1">
        <f>+J5*J4</f>
        <v>4012290.8000000003</v>
      </c>
    </row>
    <row r="7" spans="9:10" x14ac:dyDescent="0.25">
      <c r="I7" t="s">
        <v>3</v>
      </c>
      <c r="J7" s="1">
        <f>36269+19103+77614</f>
        <v>132986</v>
      </c>
    </row>
    <row r="8" spans="9:10" x14ac:dyDescent="0.25">
      <c r="I8" t="s">
        <v>4</v>
      </c>
      <c r="J8" s="1">
        <f>9923+9345+82430</f>
        <v>101698</v>
      </c>
    </row>
    <row r="9" spans="9:10" x14ac:dyDescent="0.25">
      <c r="I9" t="s">
        <v>5</v>
      </c>
      <c r="J9" s="1">
        <f>J6-J7+J8</f>
        <v>3981002.8000000003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DDC4-3D2D-4D62-ACED-F9F5A17A7EDD}">
  <dimension ref="C3:K43"/>
  <sheetViews>
    <sheetView tabSelected="1" topLeftCell="A16" workbookViewId="0">
      <selection activeCell="J47" sqref="J47"/>
    </sheetView>
  </sheetViews>
  <sheetFormatPr defaultRowHeight="15" x14ac:dyDescent="0.25"/>
  <cols>
    <col min="3" max="3" width="18.5703125" style="2" bestFit="1" customWidth="1"/>
    <col min="6" max="6" width="3.140625" customWidth="1"/>
    <col min="7" max="7" width="2.42578125" customWidth="1"/>
    <col min="8" max="8" width="2.5703125" customWidth="1"/>
  </cols>
  <sheetData>
    <row r="3" spans="3:11" x14ac:dyDescent="0.25">
      <c r="C3" s="2" t="s">
        <v>31</v>
      </c>
      <c r="D3" t="s">
        <v>13</v>
      </c>
      <c r="E3" t="s">
        <v>12</v>
      </c>
      <c r="F3" t="s">
        <v>11</v>
      </c>
      <c r="G3" t="s">
        <v>10</v>
      </c>
      <c r="H3" t="s">
        <v>6</v>
      </c>
      <c r="I3" t="s">
        <v>7</v>
      </c>
      <c r="J3" t="s">
        <v>8</v>
      </c>
      <c r="K3" t="s">
        <v>9</v>
      </c>
    </row>
    <row r="4" spans="3:11" s="7" customFormat="1" x14ac:dyDescent="0.25">
      <c r="C4" s="8" t="s">
        <v>14</v>
      </c>
      <c r="E4" s="7">
        <v>85777</v>
      </c>
      <c r="I4" s="7">
        <v>94036</v>
      </c>
    </row>
    <row r="5" spans="3:11" x14ac:dyDescent="0.25">
      <c r="C5" s="2" t="s">
        <v>15</v>
      </c>
      <c r="E5">
        <v>46099</v>
      </c>
      <c r="I5">
        <v>50318</v>
      </c>
    </row>
    <row r="6" spans="3:11" s="6" customFormat="1" x14ac:dyDescent="0.25">
      <c r="C6" s="5" t="s">
        <v>26</v>
      </c>
      <c r="E6" s="6">
        <f t="shared" ref="E6:H6" si="0">E4-E5</f>
        <v>39678</v>
      </c>
      <c r="F6" s="6">
        <f t="shared" si="0"/>
        <v>0</v>
      </c>
      <c r="G6" s="6">
        <f t="shared" si="0"/>
        <v>0</v>
      </c>
      <c r="H6" s="6">
        <f t="shared" si="0"/>
        <v>0</v>
      </c>
      <c r="I6" s="6">
        <f>I4-I5</f>
        <v>43718</v>
      </c>
    </row>
    <row r="7" spans="3:11" x14ac:dyDescent="0.25">
      <c r="C7" s="2" t="s">
        <v>18</v>
      </c>
      <c r="E7">
        <v>8006</v>
      </c>
      <c r="I7">
        <v>8866</v>
      </c>
    </row>
    <row r="8" spans="3:11" x14ac:dyDescent="0.25">
      <c r="C8" s="2" t="s">
        <v>19</v>
      </c>
      <c r="E8">
        <v>6320</v>
      </c>
      <c r="I8">
        <v>6650</v>
      </c>
    </row>
    <row r="9" spans="3:11" x14ac:dyDescent="0.25">
      <c r="C9" s="2" t="s">
        <v>17</v>
      </c>
      <c r="E9">
        <f t="shared" ref="E9:H9" si="1">E8+E7</f>
        <v>14326</v>
      </c>
      <c r="F9">
        <f t="shared" si="1"/>
        <v>0</v>
      </c>
      <c r="G9">
        <f t="shared" si="1"/>
        <v>0</v>
      </c>
      <c r="H9">
        <f t="shared" si="1"/>
        <v>0</v>
      </c>
      <c r="I9">
        <f>I8+I7</f>
        <v>15516</v>
      </c>
    </row>
    <row r="10" spans="3:11" s="6" customFormat="1" x14ac:dyDescent="0.25">
      <c r="C10" s="5" t="s">
        <v>27</v>
      </c>
      <c r="E10" s="6">
        <v>25352</v>
      </c>
      <c r="F10" s="6">
        <v>28202</v>
      </c>
      <c r="G10" s="6">
        <v>28202</v>
      </c>
      <c r="H10" s="6">
        <v>28202</v>
      </c>
      <c r="I10" s="6">
        <v>28202</v>
      </c>
    </row>
    <row r="11" spans="3:11" x14ac:dyDescent="0.25">
      <c r="C11" s="2" t="s">
        <v>20</v>
      </c>
      <c r="E11">
        <v>142</v>
      </c>
      <c r="I11">
        <v>-171</v>
      </c>
    </row>
    <row r="12" spans="3:11" x14ac:dyDescent="0.25">
      <c r="C12" s="2" t="s">
        <v>29</v>
      </c>
      <c r="E12">
        <f t="shared" ref="E12:H12" si="2">+E10+E11</f>
        <v>25494</v>
      </c>
      <c r="F12">
        <f t="shared" si="2"/>
        <v>28202</v>
      </c>
      <c r="G12">
        <f t="shared" si="2"/>
        <v>28202</v>
      </c>
      <c r="H12">
        <f t="shared" si="2"/>
        <v>28202</v>
      </c>
      <c r="I12">
        <f>+I10+I11</f>
        <v>28031</v>
      </c>
    </row>
    <row r="13" spans="3:11" x14ac:dyDescent="0.25">
      <c r="C13" s="2" t="s">
        <v>21</v>
      </c>
      <c r="E13">
        <v>4046</v>
      </c>
      <c r="I13">
        <v>4597</v>
      </c>
    </row>
    <row r="14" spans="3:11" s="6" customFormat="1" x14ac:dyDescent="0.25">
      <c r="C14" s="5" t="s">
        <v>22</v>
      </c>
      <c r="E14" s="6">
        <f t="shared" ref="E14:H14" si="3">+E12-E13</f>
        <v>21448</v>
      </c>
      <c r="F14" s="6">
        <f t="shared" si="3"/>
        <v>28202</v>
      </c>
      <c r="G14" s="6">
        <f t="shared" si="3"/>
        <v>28202</v>
      </c>
      <c r="H14" s="6">
        <f t="shared" si="3"/>
        <v>28202</v>
      </c>
      <c r="I14" s="6">
        <f>+I12-I13</f>
        <v>23434</v>
      </c>
    </row>
    <row r="15" spans="3:11" s="10" customFormat="1" x14ac:dyDescent="0.25">
      <c r="C15" s="9" t="s">
        <v>23</v>
      </c>
      <c r="E15" s="10">
        <f t="shared" ref="E15:H15" si="4">+E14/E16</f>
        <v>1.4030221757048473</v>
      </c>
      <c r="F15" s="10" t="e">
        <f t="shared" si="4"/>
        <v>#DIV/0!</v>
      </c>
      <c r="G15" s="10" t="e">
        <f t="shared" si="4"/>
        <v>#DIV/0!</v>
      </c>
      <c r="H15" s="10" t="e">
        <f t="shared" si="4"/>
        <v>#DIV/0!</v>
      </c>
      <c r="I15" s="10">
        <f>+I14/I16</f>
        <v>1.5725405985773722</v>
      </c>
    </row>
    <row r="16" spans="3:11" x14ac:dyDescent="0.25">
      <c r="C16" s="2" t="s">
        <v>1</v>
      </c>
      <c r="E16">
        <v>15287</v>
      </c>
      <c r="I16">
        <v>14902</v>
      </c>
    </row>
    <row r="18" spans="3:9" x14ac:dyDescent="0.25">
      <c r="C18" s="2" t="s">
        <v>25</v>
      </c>
      <c r="D18" s="4"/>
      <c r="E18" s="4" t="e">
        <f t="shared" ref="E18:H18" si="5">E4/A4</f>
        <v>#DIV/0!</v>
      </c>
      <c r="F18" s="4" t="e">
        <f t="shared" si="5"/>
        <v>#DIV/0!</v>
      </c>
      <c r="G18" s="4" t="e">
        <f t="shared" si="5"/>
        <v>#VALUE!</v>
      </c>
      <c r="H18" s="4" t="e">
        <f t="shared" si="5"/>
        <v>#DIV/0!</v>
      </c>
      <c r="I18" s="4">
        <f>I4/E4 -1</f>
        <v>9.628455180293094E-2</v>
      </c>
    </row>
    <row r="19" spans="3:9" x14ac:dyDescent="0.25">
      <c r="C19" s="2" t="s">
        <v>16</v>
      </c>
      <c r="D19" s="4"/>
      <c r="E19" s="4">
        <f t="shared" ref="E19:H19" si="6">+E6/E4</f>
        <v>0.46257155181458898</v>
      </c>
      <c r="F19" s="4" t="e">
        <f t="shared" si="6"/>
        <v>#DIV/0!</v>
      </c>
      <c r="G19" s="4" t="e">
        <f t="shared" si="6"/>
        <v>#DIV/0!</v>
      </c>
      <c r="H19" s="4" t="e">
        <f t="shared" si="6"/>
        <v>#DIV/0!</v>
      </c>
      <c r="I19" s="4">
        <f>+I6/I4</f>
        <v>0.46490705687183631</v>
      </c>
    </row>
    <row r="20" spans="3:9" x14ac:dyDescent="0.25">
      <c r="C20" s="2" t="s">
        <v>28</v>
      </c>
      <c r="D20" s="4"/>
      <c r="E20" s="4">
        <f t="shared" ref="E20:H20" si="7">+E10/E4</f>
        <v>0.29555708406682446</v>
      </c>
      <c r="F20" s="4" t="e">
        <f t="shared" si="7"/>
        <v>#DIV/0!</v>
      </c>
      <c r="G20" s="4" t="e">
        <f t="shared" si="7"/>
        <v>#DIV/0!</v>
      </c>
      <c r="H20" s="4" t="e">
        <f t="shared" si="7"/>
        <v>#DIV/0!</v>
      </c>
      <c r="I20" s="4">
        <f>+I10/I4</f>
        <v>0.29990641881832492</v>
      </c>
    </row>
    <row r="21" spans="3:9" x14ac:dyDescent="0.25">
      <c r="C21" s="2" t="s">
        <v>30</v>
      </c>
      <c r="D21" s="4"/>
      <c r="E21" s="4">
        <f t="shared" ref="E21:H21" si="8">+E14/E4</f>
        <v>0.25004371801298714</v>
      </c>
      <c r="F21" s="4" t="e">
        <f t="shared" si="8"/>
        <v>#DIV/0!</v>
      </c>
      <c r="G21" s="4" t="e">
        <f t="shared" si="8"/>
        <v>#DIV/0!</v>
      </c>
      <c r="H21" s="4" t="e">
        <f t="shared" si="8"/>
        <v>#DIV/0!</v>
      </c>
      <c r="I21" s="4">
        <f>+I14/I4</f>
        <v>0.24920243311072354</v>
      </c>
    </row>
    <row r="22" spans="3:9" x14ac:dyDescent="0.25">
      <c r="C22" s="2" t="s">
        <v>24</v>
      </c>
      <c r="D22" s="4"/>
      <c r="E22" s="4">
        <f t="shared" ref="E22:H22" si="9">+E13/E12</f>
        <v>0.15870400878638111</v>
      </c>
      <c r="F22" s="4">
        <f t="shared" si="9"/>
        <v>0</v>
      </c>
      <c r="G22" s="4">
        <f t="shared" si="9"/>
        <v>0</v>
      </c>
      <c r="H22" s="4">
        <f t="shared" si="9"/>
        <v>0</v>
      </c>
      <c r="I22" s="4">
        <f>+I13/I12</f>
        <v>0.16399700331775535</v>
      </c>
    </row>
    <row r="25" spans="3:9" x14ac:dyDescent="0.25">
      <c r="C25" s="2" t="s">
        <v>32</v>
      </c>
    </row>
    <row r="26" spans="3:9" x14ac:dyDescent="0.25">
      <c r="C26" s="2" t="s">
        <v>33</v>
      </c>
      <c r="I26">
        <f>36269+19103+77614</f>
        <v>132986</v>
      </c>
    </row>
    <row r="27" spans="3:9" x14ac:dyDescent="0.25">
      <c r="C27" s="2" t="s">
        <v>34</v>
      </c>
      <c r="I27">
        <v>27557</v>
      </c>
    </row>
    <row r="28" spans="3:9" x14ac:dyDescent="0.25">
      <c r="C28" s="2" t="s">
        <v>35</v>
      </c>
      <c r="I28">
        <v>19278</v>
      </c>
    </row>
    <row r="29" spans="3:9" x14ac:dyDescent="0.25">
      <c r="C29" s="2" t="s">
        <v>36</v>
      </c>
      <c r="I29">
        <v>5925</v>
      </c>
    </row>
    <row r="30" spans="3:9" x14ac:dyDescent="0.25">
      <c r="C30" s="2" t="s">
        <v>37</v>
      </c>
      <c r="I30">
        <v>14359</v>
      </c>
    </row>
    <row r="31" spans="3:9" x14ac:dyDescent="0.25">
      <c r="C31" s="2" t="s">
        <v>38</v>
      </c>
      <c r="I31">
        <v>48508</v>
      </c>
    </row>
    <row r="32" spans="3:9" x14ac:dyDescent="0.25">
      <c r="C32" s="2" t="s">
        <v>39</v>
      </c>
      <c r="I32">
        <v>82882</v>
      </c>
    </row>
    <row r="33" spans="3:9" x14ac:dyDescent="0.25">
      <c r="C33" s="2" t="s">
        <v>40</v>
      </c>
      <c r="I33">
        <f t="array" ref="I33">SUM(I26:I32)</f>
        <v>331495</v>
      </c>
    </row>
    <row r="35" spans="3:9" x14ac:dyDescent="0.25">
      <c r="C35" s="2" t="s">
        <v>46</v>
      </c>
      <c r="I35">
        <v>50374</v>
      </c>
    </row>
    <row r="36" spans="3:9" x14ac:dyDescent="0.25">
      <c r="C36" s="2" t="s">
        <v>41</v>
      </c>
      <c r="I36">
        <v>62499</v>
      </c>
    </row>
    <row r="37" spans="3:9" x14ac:dyDescent="0.25">
      <c r="C37" s="2" t="s">
        <v>42</v>
      </c>
      <c r="I37">
        <v>8979</v>
      </c>
    </row>
    <row r="38" spans="3:9" x14ac:dyDescent="0.25">
      <c r="C38" s="2" t="s">
        <v>43</v>
      </c>
      <c r="I38">
        <v>9923</v>
      </c>
    </row>
    <row r="39" spans="3:9" x14ac:dyDescent="0.25">
      <c r="C39" s="2" t="s">
        <v>49</v>
      </c>
      <c r="I39">
        <f>9345+82430</f>
        <v>91775</v>
      </c>
    </row>
    <row r="40" spans="3:9" x14ac:dyDescent="0.25">
      <c r="C40" s="2" t="s">
        <v>44</v>
      </c>
      <c r="I40">
        <v>42115</v>
      </c>
    </row>
    <row r="41" spans="3:9" x14ac:dyDescent="0.25">
      <c r="C41" s="2" t="s">
        <v>45</v>
      </c>
      <c r="I41">
        <f>SUM(I35:I40)</f>
        <v>265665</v>
      </c>
    </row>
    <row r="42" spans="3:9" x14ac:dyDescent="0.25">
      <c r="C42" s="2" t="s">
        <v>47</v>
      </c>
    </row>
    <row r="43" spans="3:9" x14ac:dyDescent="0.25">
      <c r="C43" s="2" t="s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BD75-B795-4CB4-ADDA-8A55230E2216}">
  <dimension ref="A3:G34"/>
  <sheetViews>
    <sheetView zoomScale="85" zoomScaleNormal="85" workbookViewId="0">
      <selection activeCell="G41" sqref="G41"/>
    </sheetView>
  </sheetViews>
  <sheetFormatPr defaultRowHeight="15" x14ac:dyDescent="0.25"/>
  <cols>
    <col min="1" max="1" width="18.85546875" bestFit="1" customWidth="1"/>
    <col min="4" max="4" width="11.5703125" bestFit="1" customWidth="1"/>
    <col min="5" max="5" width="16.5703125" bestFit="1" customWidth="1"/>
    <col min="7" max="7" width="18.140625" bestFit="1" customWidth="1"/>
  </cols>
  <sheetData>
    <row r="3" spans="1:7" x14ac:dyDescent="0.25">
      <c r="B3" t="s">
        <v>50</v>
      </c>
    </row>
    <row r="6" spans="1:7" x14ac:dyDescent="0.25">
      <c r="C6" t="s">
        <v>56</v>
      </c>
      <c r="D6" t="s">
        <v>53</v>
      </c>
      <c r="E6" t="s">
        <v>54</v>
      </c>
      <c r="F6" t="s">
        <v>55</v>
      </c>
      <c r="G6" t="s">
        <v>57</v>
      </c>
    </row>
    <row r="7" spans="1:7" x14ac:dyDescent="0.25">
      <c r="A7" t="s">
        <v>51</v>
      </c>
      <c r="B7">
        <v>0.03</v>
      </c>
      <c r="C7">
        <v>1</v>
      </c>
      <c r="D7" s="3">
        <v>5</v>
      </c>
      <c r="E7">
        <f>($B$8)^(C7-1)</f>
        <v>1</v>
      </c>
      <c r="F7" s="3">
        <f>E7*D7</f>
        <v>5</v>
      </c>
      <c r="G7" s="3">
        <f>SUM($F$7:F7)</f>
        <v>5</v>
      </c>
    </row>
    <row r="8" spans="1:7" x14ac:dyDescent="0.25">
      <c r="A8" t="s">
        <v>52</v>
      </c>
      <c r="B8">
        <f>1/(1+B7)</f>
        <v>0.970873786407767</v>
      </c>
      <c r="C8">
        <v>2</v>
      </c>
      <c r="D8" s="3">
        <v>5</v>
      </c>
      <c r="E8">
        <f t="shared" ref="E8:E34" si="0">($B$8)^(C8-1)</f>
        <v>0.970873786407767</v>
      </c>
      <c r="F8" s="3">
        <f t="shared" ref="F8:F34" si="1">E8*D8</f>
        <v>4.8543689320388346</v>
      </c>
      <c r="G8" s="3">
        <f>SUM($F$7:F8)</f>
        <v>9.8543689320388346</v>
      </c>
    </row>
    <row r="9" spans="1:7" x14ac:dyDescent="0.25">
      <c r="C9">
        <v>3</v>
      </c>
      <c r="D9" s="3">
        <v>5</v>
      </c>
      <c r="E9">
        <f t="shared" si="0"/>
        <v>0.94259590913375435</v>
      </c>
      <c r="F9" s="3">
        <f t="shared" si="1"/>
        <v>4.7129795456687713</v>
      </c>
      <c r="G9" s="3">
        <f>SUM($F$7:F9)</f>
        <v>14.567348477707606</v>
      </c>
    </row>
    <row r="10" spans="1:7" x14ac:dyDescent="0.25">
      <c r="C10">
        <v>4</v>
      </c>
      <c r="D10" s="3">
        <v>5</v>
      </c>
      <c r="E10">
        <f t="shared" si="0"/>
        <v>0.91514165935315961</v>
      </c>
      <c r="F10" s="3">
        <f t="shared" si="1"/>
        <v>4.5757082967657983</v>
      </c>
      <c r="G10" s="3">
        <f>SUM($F$7:F10)</f>
        <v>19.143056774473404</v>
      </c>
    </row>
    <row r="11" spans="1:7" x14ac:dyDescent="0.25">
      <c r="C11">
        <v>5</v>
      </c>
      <c r="D11" s="3">
        <v>5</v>
      </c>
      <c r="E11">
        <f t="shared" si="0"/>
        <v>0.88848704791568889</v>
      </c>
      <c r="F11" s="3">
        <f t="shared" si="1"/>
        <v>4.4424352395784448</v>
      </c>
      <c r="G11" s="3">
        <f>SUM($F$7:F11)</f>
        <v>23.585492014051848</v>
      </c>
    </row>
    <row r="12" spans="1:7" x14ac:dyDescent="0.25">
      <c r="C12">
        <v>6</v>
      </c>
      <c r="D12" s="3">
        <v>5</v>
      </c>
      <c r="E12">
        <f t="shared" si="0"/>
        <v>0.862608784384164</v>
      </c>
      <c r="F12" s="3">
        <f t="shared" si="1"/>
        <v>4.3130439219208201</v>
      </c>
      <c r="G12" s="3">
        <f>SUM($F$7:F12)</f>
        <v>27.898535935972667</v>
      </c>
    </row>
    <row r="13" spans="1:7" x14ac:dyDescent="0.25">
      <c r="C13">
        <v>7</v>
      </c>
      <c r="D13" s="3">
        <v>5</v>
      </c>
      <c r="E13">
        <f t="shared" si="0"/>
        <v>0.83748425668365434</v>
      </c>
      <c r="F13" s="3">
        <f t="shared" si="1"/>
        <v>4.1874212834182716</v>
      </c>
      <c r="G13" s="3">
        <f>SUM($F$7:F13)</f>
        <v>32.085957219390941</v>
      </c>
    </row>
    <row r="14" spans="1:7" x14ac:dyDescent="0.25">
      <c r="C14">
        <v>8</v>
      </c>
      <c r="D14" s="3">
        <v>5</v>
      </c>
      <c r="E14">
        <f t="shared" si="0"/>
        <v>0.81309151134335378</v>
      </c>
      <c r="F14" s="3">
        <f t="shared" si="1"/>
        <v>4.065457556716769</v>
      </c>
      <c r="G14" s="3">
        <f>SUM($F$7:F14)</f>
        <v>36.151414776107714</v>
      </c>
    </row>
    <row r="15" spans="1:7" x14ac:dyDescent="0.25">
      <c r="C15">
        <v>9</v>
      </c>
      <c r="D15" s="3">
        <v>5</v>
      </c>
      <c r="E15">
        <f t="shared" si="0"/>
        <v>0.78940923431393561</v>
      </c>
      <c r="F15" s="3">
        <f t="shared" si="1"/>
        <v>3.9470461715696779</v>
      </c>
      <c r="G15" s="3">
        <f>SUM($F$7:F15)</f>
        <v>40.098460947677395</v>
      </c>
    </row>
    <row r="16" spans="1:7" x14ac:dyDescent="0.25">
      <c r="C16">
        <v>10</v>
      </c>
      <c r="D16" s="3">
        <v>5</v>
      </c>
      <c r="E16">
        <f t="shared" si="0"/>
        <v>0.76641673234362684</v>
      </c>
      <c r="F16" s="3">
        <f t="shared" si="1"/>
        <v>3.8320836617181344</v>
      </c>
      <c r="G16" s="3">
        <f>SUM($F$7:F16)</f>
        <v>43.930544609395533</v>
      </c>
    </row>
    <row r="17" spans="3:7" x14ac:dyDescent="0.25">
      <c r="C17">
        <v>11</v>
      </c>
      <c r="D17" s="3">
        <v>5</v>
      </c>
      <c r="E17">
        <f t="shared" si="0"/>
        <v>0.74409391489672505</v>
      </c>
      <c r="F17" s="3">
        <f t="shared" si="1"/>
        <v>3.7204695744836251</v>
      </c>
      <c r="G17" s="3">
        <f>SUM($F$7:F17)</f>
        <v>47.651014183879155</v>
      </c>
    </row>
    <row r="18" spans="3:7" x14ac:dyDescent="0.25">
      <c r="C18">
        <v>12</v>
      </c>
      <c r="D18" s="3">
        <v>5</v>
      </c>
      <c r="E18">
        <f t="shared" si="0"/>
        <v>0.72242127659876221</v>
      </c>
      <c r="F18" s="3">
        <f t="shared" si="1"/>
        <v>3.6121063829938111</v>
      </c>
      <c r="G18" s="3">
        <f>SUM($F$7:F18)</f>
        <v>51.263120566872963</v>
      </c>
    </row>
    <row r="19" spans="3:7" x14ac:dyDescent="0.25">
      <c r="C19">
        <v>13</v>
      </c>
      <c r="D19" s="3">
        <v>5</v>
      </c>
      <c r="E19">
        <f t="shared" si="0"/>
        <v>0.70137988019297304</v>
      </c>
      <c r="F19" s="3">
        <f t="shared" si="1"/>
        <v>3.5068994009648651</v>
      </c>
      <c r="G19" s="3">
        <f>SUM($F$7:F19)</f>
        <v>54.770019967837825</v>
      </c>
    </row>
    <row r="20" spans="3:7" x14ac:dyDescent="0.25">
      <c r="C20">
        <v>14</v>
      </c>
      <c r="D20" s="3">
        <v>5</v>
      </c>
      <c r="E20">
        <f t="shared" si="0"/>
        <v>0.6809513399931777</v>
      </c>
      <c r="F20" s="3">
        <f t="shared" si="1"/>
        <v>3.4047566999658887</v>
      </c>
      <c r="G20" s="3">
        <f>SUM($F$7:F20)</f>
        <v>58.174776667803712</v>
      </c>
    </row>
    <row r="21" spans="3:7" x14ac:dyDescent="0.25">
      <c r="C21">
        <v>15</v>
      </c>
      <c r="D21" s="3">
        <v>5</v>
      </c>
      <c r="E21">
        <f t="shared" si="0"/>
        <v>0.66111780581861912</v>
      </c>
      <c r="F21" s="3">
        <f t="shared" si="1"/>
        <v>3.3055890290930954</v>
      </c>
      <c r="G21" s="3">
        <f>SUM($F$7:F21)</f>
        <v>61.480365696896811</v>
      </c>
    </row>
    <row r="22" spans="3:7" x14ac:dyDescent="0.25">
      <c r="C22">
        <v>16</v>
      </c>
      <c r="D22" s="3">
        <v>5</v>
      </c>
      <c r="E22">
        <f t="shared" si="0"/>
        <v>0.64186194739671765</v>
      </c>
      <c r="F22" s="3">
        <f t="shared" si="1"/>
        <v>3.2093097369835881</v>
      </c>
      <c r="G22" s="3">
        <f>SUM($F$7:F22)</f>
        <v>64.689675433880396</v>
      </c>
    </row>
    <row r="23" spans="3:7" x14ac:dyDescent="0.25">
      <c r="C23">
        <v>17</v>
      </c>
      <c r="D23" s="3">
        <v>5</v>
      </c>
      <c r="E23">
        <f t="shared" si="0"/>
        <v>0.62316693922011412</v>
      </c>
      <c r="F23" s="3">
        <f t="shared" si="1"/>
        <v>3.1158346961005705</v>
      </c>
      <c r="G23" s="3">
        <f>SUM($F$7:F23)</f>
        <v>67.805510129980973</v>
      </c>
    </row>
    <row r="24" spans="3:7" x14ac:dyDescent="0.25">
      <c r="C24">
        <v>18</v>
      </c>
      <c r="D24" s="3">
        <v>5</v>
      </c>
      <c r="E24">
        <f t="shared" si="0"/>
        <v>0.60501644584477099</v>
      </c>
      <c r="F24" s="3">
        <f t="shared" si="1"/>
        <v>3.0250822292238548</v>
      </c>
      <c r="G24" s="3">
        <f>SUM($F$7:F24)</f>
        <v>70.830592359204829</v>
      </c>
    </row>
    <row r="25" spans="3:7" x14ac:dyDescent="0.25">
      <c r="C25">
        <v>19</v>
      </c>
      <c r="D25" s="3">
        <v>5</v>
      </c>
      <c r="E25">
        <f t="shared" si="0"/>
        <v>0.58739460761628248</v>
      </c>
      <c r="F25" s="3">
        <f t="shared" si="1"/>
        <v>2.9369730380814123</v>
      </c>
      <c r="G25" s="3">
        <f>SUM($F$7:F25)</f>
        <v>73.767565397286248</v>
      </c>
    </row>
    <row r="26" spans="3:7" x14ac:dyDescent="0.25">
      <c r="C26">
        <v>20</v>
      </c>
      <c r="D26" s="3">
        <v>5</v>
      </c>
      <c r="E26">
        <f t="shared" si="0"/>
        <v>0.57028602681192475</v>
      </c>
      <c r="F26" s="3">
        <f t="shared" si="1"/>
        <v>2.8514301340596235</v>
      </c>
      <c r="G26" s="3">
        <f>SUM($F$7:F26)</f>
        <v>76.618995531345874</v>
      </c>
    </row>
    <row r="27" spans="3:7" x14ac:dyDescent="0.25">
      <c r="C27">
        <v>21</v>
      </c>
      <c r="D27" s="3">
        <v>5</v>
      </c>
      <c r="E27">
        <f t="shared" si="0"/>
        <v>0.55367575418633475</v>
      </c>
      <c r="F27" s="3">
        <f t="shared" si="1"/>
        <v>2.7683787709316738</v>
      </c>
      <c r="G27" s="3">
        <f>SUM($F$7:F27)</f>
        <v>79.38737430227755</v>
      </c>
    </row>
    <row r="28" spans="3:7" x14ac:dyDescent="0.25">
      <c r="C28">
        <v>22</v>
      </c>
      <c r="D28" s="3">
        <v>5</v>
      </c>
      <c r="E28">
        <f t="shared" si="0"/>
        <v>0.53754927590906287</v>
      </c>
      <c r="F28" s="3">
        <f t="shared" si="1"/>
        <v>2.6877463795453145</v>
      </c>
      <c r="G28" s="3">
        <f>SUM($F$7:F28)</f>
        <v>82.075120681822867</v>
      </c>
    </row>
    <row r="29" spans="3:7" x14ac:dyDescent="0.25">
      <c r="C29">
        <v>23</v>
      </c>
      <c r="D29" s="3">
        <v>5</v>
      </c>
      <c r="E29">
        <f t="shared" si="0"/>
        <v>0.52189250088258532</v>
      </c>
      <c r="F29" s="3">
        <f t="shared" si="1"/>
        <v>2.6094625044129267</v>
      </c>
      <c r="G29" s="3">
        <f>SUM($F$7:F29)</f>
        <v>84.684583186235798</v>
      </c>
    </row>
    <row r="30" spans="3:7" x14ac:dyDescent="0.25">
      <c r="C30">
        <v>24</v>
      </c>
      <c r="D30" s="3">
        <v>5</v>
      </c>
      <c r="E30">
        <f t="shared" si="0"/>
        <v>0.50669174842969444</v>
      </c>
      <c r="F30" s="3">
        <f t="shared" si="1"/>
        <v>2.533458742148472</v>
      </c>
      <c r="G30" s="3">
        <f>SUM($F$7:F30)</f>
        <v>87.218041928384267</v>
      </c>
    </row>
    <row r="31" spans="3:7" x14ac:dyDescent="0.25">
      <c r="C31">
        <v>25</v>
      </c>
      <c r="D31" s="3">
        <v>5</v>
      </c>
      <c r="E31">
        <f t="shared" si="0"/>
        <v>0.49193373633950915</v>
      </c>
      <c r="F31" s="3">
        <f t="shared" si="1"/>
        <v>2.4596686816975457</v>
      </c>
      <c r="G31" s="3">
        <f>SUM($F$7:F31)</f>
        <v>89.677710610081817</v>
      </c>
    </row>
    <row r="32" spans="3:7" x14ac:dyDescent="0.25">
      <c r="C32">
        <v>26</v>
      </c>
      <c r="D32" s="3">
        <v>5</v>
      </c>
      <c r="E32">
        <f t="shared" si="0"/>
        <v>0.47760556926165937</v>
      </c>
      <c r="F32" s="3">
        <f t="shared" si="1"/>
        <v>2.3880278463082969</v>
      </c>
      <c r="G32" s="3">
        <f>SUM($F$7:F32)</f>
        <v>92.065738456390108</v>
      </c>
    </row>
    <row r="33" spans="3:7" x14ac:dyDescent="0.25">
      <c r="C33">
        <v>27</v>
      </c>
      <c r="D33" s="3">
        <v>5</v>
      </c>
      <c r="E33">
        <f t="shared" si="0"/>
        <v>0.46369472743850421</v>
      </c>
      <c r="F33" s="3">
        <f t="shared" si="1"/>
        <v>2.318473637192521</v>
      </c>
      <c r="G33" s="3">
        <f>SUM($F$7:F33)</f>
        <v>94.384212093582633</v>
      </c>
    </row>
    <row r="34" spans="3:7" x14ac:dyDescent="0.25">
      <c r="C34">
        <v>28</v>
      </c>
      <c r="D34" s="3">
        <v>5</v>
      </c>
      <c r="E34">
        <f t="shared" si="0"/>
        <v>0.45018905576553808</v>
      </c>
      <c r="F34" s="3">
        <f t="shared" si="1"/>
        <v>2.2509452788276905</v>
      </c>
      <c r="G34" s="3">
        <f>SUM($F$7:F34)</f>
        <v>96.635157372410319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Model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Ardjan Gjolena</dc:creator>
  <cp:lastModifiedBy>Luan Ardjan Gjolena</cp:lastModifiedBy>
  <dcterms:created xsi:type="dcterms:W3CDTF">2025-11-02T15:41:46Z</dcterms:created>
  <dcterms:modified xsi:type="dcterms:W3CDTF">2025-11-04T16:49:44Z</dcterms:modified>
</cp:coreProperties>
</file>